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ations &amp; Roles" sheetId="1" r:id="rId4"/>
    <sheet state="visible" name="Business Base Lines" sheetId="2" r:id="rId5"/>
    <sheet state="visible" name="Campaigns &amp; Movements" sheetId="3" r:id="rId6"/>
    <sheet state="visible" name="JD Alignment" sheetId="4" r:id="rId7"/>
    <sheet state="visible" name="Profit &amp; Earnings share by rati" sheetId="5" r:id="rId8"/>
    <sheet state="visible" name="Initial Setup" sheetId="6" r:id="rId9"/>
  </sheets>
  <definedNames/>
  <calcPr/>
</workbook>
</file>

<file path=xl/sharedStrings.xml><?xml version="1.0" encoding="utf-8"?>
<sst xmlns="http://schemas.openxmlformats.org/spreadsheetml/2006/main" count="365" uniqueCount="324">
  <si>
    <t>1. Financial Documentation Flow (TBD-FIN-01/02)</t>
  </si>
  <si>
    <t>Yeh document aapke Tier A/B/C ke numbers aur funds ke flow ko wazeh karega.</t>
  </si>
  <si>
    <t>Sr.</t>
  </si>
  <si>
    <t>Document / Policy Name</t>
  </si>
  <si>
    <t>Content Focus</t>
  </si>
  <si>
    <t>GentleΩ Alignment</t>
  </si>
  <si>
    <t>Tier Financial Model (TBD-FIN-01)</t>
  </si>
  <si>
    <t>Har tier (A, B, C) ke liye Commitment Fee ki exact raqam (e.g., $500), Payout ki mutawaqqa (expected) raqam, aur Administrative Charges ki percentage.</t>
  </si>
  <si>
    <t>Core Strategy, Escrow Pool</t>
  </si>
  <si>
    <t>Okay, so now we'll move with next thing here "Tier Financial Model" (TBD-FIN-01).
Yahan pr mujhe gehri confusion hai, jisy hum mil kr sortout and smoothly resolve kren gy.
Now, the issue here is har Tier (A, B, C, D, etc.) ky liye commitment Fee ka exact andaza lagana and amount lock krna.aur administrative charges ratios ko setup krna (Jo ky humne tay kiye thy as 35% administrative charges).</t>
  </si>
  <si>
    <t>Refund/Forfeiture Decision Tree (TBD-FIN-02)</t>
  </si>
  <si>
    <t>Kab, Kitna, aur Kis Surat mein fee wapis hogi ya zabt (forfeited) hogi. Ismein SLA (21 days) aur deduction (penalties) ka process define hoga.</t>
  </si>
  <si>
    <t>Refund Conditions, Financial Guardrails</t>
  </si>
  <si>
    <t>Initial Cost Recovery &amp; Execution Budget</t>
  </si>
  <si>
    <t>Company formation, LLC fee, Registered Agent fee, hosting, legal consultation (initial cost) ko Escrow Pool aur Ops Pool se kaise recover kiya jayega, aur agle 3-6 maheenon ka operating budget (salaries, ads) kya hoga.</t>
  </si>
  <si>
    <t>Ops Pool (40%), R&amp;D/Reserve (30%)</t>
  </si>
  <si>
    <t>Early Member Reimbursement Plan</t>
  </si>
  <si>
    <t>Shuruati dino mein jin members ko refund dena hai, unka disbursement (adaigi) new onboarding fees se kis tarah cycle hoga. (Ensure Escrow Coverage Ratio $\ge 1.0$ rehta hai).</t>
  </si>
  <si>
    <t>Liquidity KPI</t>
  </si>
  <si>
    <t>2. Compliance Aur Onboarding Flow (TBD-CMP-01)</t>
  </si>
  <si>
    <t>Yeh document KYC/AML ki safai (clarity) laayega aur onboarding ko smooth banayega.</t>
  </si>
  <si>
    <t>KYC/AML Policy &amp; Vendor SOP (TBD-CMP-01)</t>
  </si>
  <si>
    <t>Required Documents ki list (Passport/ID), Liveness Check ki zaroorat, Sanctions Screening ka process. Chosen Vendors (jaise Sumsub/Onfido) aur unki API integration ka process.</t>
  </si>
  <si>
    <t>Verification KPI, Risk &amp; Compliance</t>
  </si>
  <si>
    <t>Digital Signing &amp; Payment Flow</t>
  </si>
  <si>
    <t>DocuSign/Adobe Sign ka istemaal, Stripe/Wise payment gateway ka integration, aur agreement ke baad API call ke zariye KYC service ko trigger karne ka technical flow.</t>
  </si>
  <si>
    <t>Operational Systems</t>
  </si>
  <si>
    <t>Data Protection Policy (PII)</t>
  </si>
  <si>
    <t>Talent ka sensitive data (PII) kahan store hoga, kitne arse tak rakha jayega (retention), aur off-chain storage ke liye kya protocols honge.</t>
  </si>
  <si>
    <t>Data Protection Risk</t>
  </si>
  <si>
    <t>3. Governance Aur Operational Flow (TBD-GOV-01)</t>
  </si>
  <si>
    <t>Yeh document aapke Management Systems aur Corporate Culture ko official shakal dega.</t>
  </si>
  <si>
    <t>Governance Charter (TBD-GOV-01)</t>
  </si>
  <si>
    <t>Board/Steering Committee ke roles, voting rights, conflict of interest policy, aur Change Log/Editing Policy (Section 8) ko follow karne ki zaroorat.</t>
  </si>
  <si>
    <t>Management Systems, Corporate Culture</t>
  </si>
  <si>
    <t>Tender Playbook (Tier A/B/C)</t>
  </si>
  <si>
    <t>Task listing ka format, task completion ki tareef (definition), validator reviews ka process, aur payout triggers ke waqayaat (events).</t>
  </si>
  <si>
    <t>Operational Systems, Production</t>
  </si>
  <si>
    <t>Escalation Path SOP</t>
  </si>
  <si>
    <t>Agreement mein diye gaye Escalation Path (IC $\rightarrow$ Board tak) ko follow karne ke liye wazeh instructions (kaun, kis ko, kitni der mein jawab dega).</t>
  </si>
  <si>
    <t>Management Systems, Planning</t>
  </si>
  <si>
    <t>🎯 Next Execution Budget Summary</t>
  </si>
  <si>
    <t>In sab documents ke baad aap ek launch-ready budget bana sakte hain:</t>
  </si>
  <si>
    <t>Category</t>
  </si>
  <si>
    <t>Initial Estimate (Once-Off)</t>
  </si>
  <si>
    <t>Monthly Operating Budget</t>
  </si>
  <si>
    <t>LLC &amp; Legal Setup</t>
  </si>
  <si>
    <t>US $500 - $1,000 (LLC, RA, Initial Legal Consultation)</t>
  </si>
  <si>
    <t>$150 (RA Fee, Basic Compliance Software)</t>
  </si>
  <si>
    <t>Platform/Tech Setup</t>
  </si>
  <si>
    <t>$300 - $500 (Domain, Hosting, Landing Page Dev)</t>
  </si>
  <si>
    <t>$50 - $100 (Hosting, Basic Email, SaaS tools)</t>
  </si>
  <si>
    <t>Compliance (KYC/AML/Sign)</t>
  </si>
  <si>
    <t>$100 - $200 (Digital Signature Subscription, KYC/AML per-check starting credit)</t>
  </si>
  <si>
    <t>$1 - $5 per new onboarded user</t>
  </si>
  <si>
    <t>Marketing (Ops Pool)</t>
  </si>
  <si>
    <t>$500 - $1,000 (Initial FB/Google Ads for first campaign)</t>
  </si>
  <si>
    <t>$500 - $2,000 (Ongoing campaign budget)</t>
  </si>
  <si>
    <t>Salaries/Draw (Ops Pool)</t>
  </si>
  <si>
    <t>N/A (First month salaries will come from Fees)</t>
  </si>
  <si>
    <t>TBD (Founder/Core Team Draw/Salary)</t>
  </si>
  <si>
    <t>1. Baseline Financial Assumptions (Maqsad)</t>
  </si>
  <si>
    <t>Item</t>
  </si>
  <si>
    <t>Value</t>
  </si>
  <si>
    <t>Rationale</t>
  </si>
  <si>
    <t>Commitment Fee (Tier A)</t>
  </si>
  <si>
    <t>$100 USD</t>
  </si>
  <si>
    <t>A high-enough value to show seriousness (commitment) but low enough to attract a global talent pool.</t>
  </si>
  <si>
    <t>Payout Target (Completed Task)</t>
  </si>
  <si>
    <t>$60 - $70 USD</t>
  </si>
  <si>
    <t>Task completion par talent ko wapis milne waali raqam, jo uski Fee se zyada ho, taake incentive aur trust barhe.</t>
  </si>
  <si>
    <t>Administrative Charge / Ops Pool (%)</t>
  </si>
  <si>
    <t>Aapke Ops Pool (40%) se thora kam, taake baaki funds R&amp;D/Reserve mein ja saken, jisse aapka AI vision finance ho.</t>
  </si>
  <si>
    <t>Escrow Coverage Ratio (KPI)</t>
  </si>
  <si>
    <t>$\ge \mathbf{1.0}$</t>
  </si>
  <si>
    <t>Ensures liquidity for refunds (always maintain enough cash to cover refundable fees).</t>
  </si>
  <si>
    <t>2. Fund Flow Breakdown (Per $100 Fee)</t>
  </si>
  <si>
    <t xml:space="preserve">Hum aapki $100 Commitment Fee ko three buckets (Escrow, Ops, R&amp;D) mein divide karte hain:
| Fund Pool (Bucket) | Percentage | Amount ($ USD) | Purpose / Strategy | | :--- | :--- | :--- | 
| 1. Escrow Pool (Refundable) | 65% | $65.00 | Talent's Refundable Deposit. Task ki successful completion par yahi raqam Payout ban jayegi. | 
| 2. Ops Pool (Administrative Charge) | 35% | $35.00 | Operating Expenses. Salaries, marketing (YouTube/Ads), IT infrastructure, aur daily cash flow management. | 
| 3. R&amp;D/Reserve | 0% | $0.00 | Strategy: R&amp;D/Reserve ko seedhe Ops Pool ki bachat (savings) se finance kiya jayega. Yeh initial stage mein break-even par focus rakhega. |
</t>
  </si>
  <si>
    <t>Break-Even Strategy:</t>
  </si>
  <si>
    <t>Agar $100 mein se $65 refund ho gaye, to aapki net revenue per successful onboarded member $35 hogi (jo Ops Pool mein chali jayegi).</t>
  </si>
  <si>
    <t>Aapko is $35 se saare expenses nikalne honge, aur phir jo bachega, woh R&amp;D/Reserve (30%) ke liye use hoga.</t>
  </si>
  <si>
    <t>Phase 1: Capital Generation &amp; System Setup (Engine)</t>
  </si>
  <si>
    <t>Initial projects woh honge jo aapke Core Strategy (KYC/AML, Dashboard, Transparency) ko validate karen aur tez cash flow laayein.</t>
  </si>
  <si>
    <t>Project Category</t>
  </si>
  <si>
    <t>Project Title (JD Focus)</t>
  </si>
  <si>
    <t>A.</t>
  </si>
  <si>
    <t>System Validation &amp; Compliance</t>
  </si>
  <si>
    <t>KYC/AML &amp; Onboarding Workflow Automation</t>
  </si>
  <si>
    <t>JD: Data Science/Compliance Lead - To research and integrate KYC/AML APIs (TBD-CMP-01) and automate the digital signature process.</t>
  </si>
  <si>
    <t>B.</t>
  </si>
  <si>
    <t>Transparency &amp; Trust Building</t>
  </si>
  <si>
    <t>Public Dashboard V1 Development</t>
  </si>
  <si>
    <t>JD: Frontend/Blockchain Dev - To create the initial public, read-only dashboard showing Funds Raised, KYC Pass Rate, and Active Tasks (KPIs Section 7).</t>
  </si>
  <si>
    <t>C.</t>
  </si>
  <si>
    <t>Financial Strategy &amp; Legal</t>
  </si>
  <si>
    <t>Tier Financial Model Integration (Smart Contract)</t>
  </si>
  <si>
    <t>JD: Legal/Smart Contract Analyst - To translate TBD-FIN-01/02 into initial blockchain-based tracking (not custody) for Escrow/Ops/Payouts.</t>
  </si>
  <si>
    <t>D.</t>
  </si>
  <si>
    <t>Content Marketing (Lead Generation)</t>
  </si>
  <si>
    <t>15-Day Campaign Content &amp; Ad Copy</t>
  </si>
  <si>
    <t>JD: Marketing/Content Writer - To create Tier A campaign material (YouTube live scripts, Google/FB ad copies) to attract the first 100 participants.</t>
  </si>
  <si>
    <t>Phase 2: AI Foundation Injection (Big Returns Possibility)</t>
  </si>
  <si>
    <t>Jab Phase 1 se capital flow aur validation shuru ho jaye, to aap Ops Pool ki bachat ko in AI-driven projects mein laga sakte hain, jo aapke long-term vision hain.</t>
  </si>
  <si>
    <t>E.</t>
  </si>
  <si>
    <t>Core Technology Transformation</t>
  </si>
  <si>
    <t>AI VM/OS Research &amp; Conceptual Design</t>
  </si>
  <si>
    <t>JD: AI Architect/Lead Researcher - To develop the foundational whitepaper and initial architectural design for the AI Virtual Machine (VM) and AI Server OS.</t>
  </si>
  <si>
    <t>F.</t>
  </si>
  <si>
    <t>Ecosystem Transformation</t>
  </si>
  <si>
    <t>Blockchain SCM/HR/Legal POC</t>
  </si>
  <si>
    <t>JD: Blockchain Developer - To create a Proof of Concept (POC) for using immutable ledgers to track Task Milestones (HR/Legal) and Resource Allocation (SCM), replacing manual processes.</t>
  </si>
  <si>
    <t>3. Strategy Execution Line (Assortment Hierarchical Index)</t>
  </si>
  <si>
    <t>Aapki cost recovery aur execution line ko smooth karne ka tareeqa yeh hai ke Tier A ka Payout uski Commitment Fee se zyada rakha jaye, aur Administrative Charge se hi saare overhead (marketing, salary) nikaale jayen.</t>
  </si>
  <si>
    <t>Index Step</t>
  </si>
  <si>
    <t>Action</t>
  </si>
  <si>
    <t>Financial Impact</t>
  </si>
  <si>
    <t>1. Launch (Tier A)</t>
  </si>
  <si>
    <t>First 100 participants onboarded (Commitment Fee collected).</t>
  </si>
  <si>
    <t>Cash In: $100 $\times$ 100 = $10,000</t>
  </si>
  <si>
    <t>2. Ops Pool Allocation</t>
  </si>
  <si>
    <t>$35 $\times$ 100 = $3,500 allocated to Ops Pool.</t>
  </si>
  <si>
    <t>Use: $3,500 se Initial Legal/Tech/Marketing costs recover honge aur salaries/draw nikali jayegi.</t>
  </si>
  <si>
    <t>3. Task Completion (Success)</t>
  </si>
  <si>
    <t>Task successfully completed, talent earns the Fee back + reward.</t>
  </si>
  <si>
    <t>Cash Out: $65 (Refund) + $5 (Reward/Incentive) = $70 $\rightarrow$ $10,000 ka $7,000 wapis ja sakta hai.</t>
  </si>
  <si>
    <t>4. Net Revenue &amp; R&amp;D Funding</t>
  </si>
  <si>
    <t>Net Revenue from non-refundable fees (penalties) and Ops Pool ki bachat.</t>
  </si>
  <si>
    <t>Net: Jab Ops Pool $3,500 se kam kharch karega, to bacha hua paisa R&amp;D/Reserve (Phase 2 projects) ko finance karega.</t>
  </si>
  <si>
    <t>Yeh structured flow aapko break-even tak bohot tezi se le jayega, kyunki aapke Ops Pool (35%) mein enough margin hai taake aap core team ki zaruriyat poori kar saken aur Phase 2 ke AI projects ko finance kar saken.</t>
  </si>
  <si>
    <t>📈 Tier A (Campaign 01) Financial Model &amp; Strategy</t>
  </si>
  <si>
    <t>Aapka maqsad ₹100 Commitment Fee aur 35% Administrative Charge ke saath 100 applicants mein se 8-12 Core Members chun kar engine ignite karna hai.</t>
  </si>
  <si>
    <t>1. Financial Projection: 100 Applicants</t>
  </si>
  <si>
    <t>Calculation</t>
  </si>
  <si>
    <t>Purpose/Use</t>
  </si>
  <si>
    <t>Total Commitment Fee Collected (A)</t>
  </si>
  <si>
    <t>100 Applicants $\times$ $100 Fee</t>
  </si>
  <si>
    <t>Total Liquidity for managing refunds &amp; operations.</t>
  </si>
  <si>
    <t>Total Escrow Pool (Refundable)</t>
  </si>
  <si>
    <t>65% of Total Fee (For refund obligation)</t>
  </si>
  <si>
    <t>Refund Liquidity: 100 applicants ko wapis dene ki max liability.</t>
  </si>
  <si>
    <t>Total Ops Pool (Administrative Charge) (B)</t>
  </si>
  <si>
    <t>35% of Total Fee</t>
  </si>
  <si>
    <t>Immediate Cash Flow: Operating Expenses, Core Team Draw/Salary, Marketing (Engine Ignition).</t>
  </si>
  <si>
    <t>2. Core Committee Formation &amp; Fee Management</t>
  </si>
  <si>
    <t>Aap 100 mein se 10 Core Members (8-12 ki range se) select karte hain.</t>
  </si>
  <si>
    <t>Selected Core Members (C)</t>
  </si>
  <si>
    <t>Yeh woh log hain jin par aapka initial MVP development aur tasks fulfilling ki zimmedari hogi.</t>
  </si>
  <si>
    <t>Non-Selected Applicants</t>
  </si>
  <si>
    <t>Inko 21 days ke andar refund diya jayega.</t>
  </si>
  <si>
    <t>Refund Obligation</t>
  </si>
  <si>
    <t>90 Applicants $\times$ $65 Escrow Portion. (Inko Refund SLA ke mutabiq wapis karna hai).</t>
  </si>
  <si>
    <t>Escrow Management Logic: Aap $6,500 Escrow Pool se $5,850 wapis karte hain. Baqi $650 ($65 $\times$ 10 Members) Core Committee ke liye active Escrow mein rahega jab tak woh apna kaam mukammal nahi karte.</t>
  </si>
  <si>
    <t>3. Core Committee Task &amp; Payout/Penalty (8-12 Members)</t>
  </si>
  <si>
    <t>Core Committee ke liye aapka $60 - $70 Payout Target hai. Hum $70 rakhte hain.</t>
  </si>
  <si>
    <t>Scenario</t>
  </si>
  <si>
    <t>Fee Status (Per Member)</t>
  </si>
  <si>
    <t>Financial Flow (Per Member)</t>
  </si>
  <si>
    <t>Successful Completion</t>
  </si>
  <si>
    <t>Refunded (as Payout)</t>
  </si>
  <si>
    <t>+$70 (Refundable Fee Portion + $5 from Ops Pool for Incentive)</t>
  </si>
  <si>
    <t>Minor Penalty/Partial Work</t>
  </si>
  <si>
    <t>Partial Forfeit</t>
  </si>
  <si>
    <t>Example: $10 Forfeit ho gaya. ($55 Refund + $5 Incentive). $10 Ops Pool mein jaayega.</t>
  </si>
  <si>
    <t>Failure/Absence (Forfeiture)</t>
  </si>
  <si>
    <t>Full Forfeit</t>
  </si>
  <si>
    <t>$65 (Escrow Portion) Ops Pool mein permanent transfer ho jayega.</t>
  </si>
  <si>
    <t>Critical Point: Core Committee ki Fee tab tak Escrow mein rahegi, jab tak woh Engine (MVP/Tasks) ko Stable nahi kar dete.</t>
  </si>
  <si>
    <t>💡 Initial Projects and Job Descriptions (JD Alignment)</t>
  </si>
  <si>
    <t>Aapka maqsad robust paisa generate karne ka engine aur AI/Blockchain transformation ki buniyad rakhna hai. Core Committee ke tasks isi maqsad par focus hone chahiye:</t>
  </si>
  <si>
    <t>Focus Area</t>
  </si>
  <si>
    <t>Project Example (Tier A)</t>
  </si>
  <si>
    <t>Core Committee JD Focus</t>
  </si>
  <si>
    <t>1. Revenue Engine &amp; SCM</t>
  </si>
  <si>
    <t>Affiliate/Partnership Lead Generation Funnel</t>
  </si>
  <si>
    <t>JD: Business Development &amp; SCM Analyst: Develop automated funnels for high-margin affiliate products/services (jo aapke niche se related hon) to start generating passive revenue. (Robust Paisa Engine)</t>
  </si>
  <si>
    <t>2. AI/Tech Foundation</t>
  </si>
  <si>
    <t>AI VM/OS Research Phase 1: Requirement Gathering</t>
  </si>
  <si>
    <t>JD: AI/Tech Researcher: Define the Minimum Viable Product (MVP) requirements for the AI OS/VM concept and identify open-source tools for initial PoC (Proof of Concept) development.</t>
  </si>
  <si>
    <t>3. Compliance &amp; Legal</t>
  </si>
  <si>
    <t>Blockchain SCM/HR/Legal Flow Blueprint</t>
  </si>
  <si>
    <t>JD: Compliance/Legal Analyst: Design the initial SCM/HR/Legal process flow jahan Commitment Fee Agreement aur Task Payout ko Immutable Ledger (Blockchain SCM) par record kiya jaye (TBD-CMP-01 ka base).</t>
  </si>
  <si>
    <t>4. Transparency &amp; Trust</t>
  </si>
  <si>
    <t>Public Dashboard V1 Data Source Integration</t>
  </si>
  <si>
    <t>JD: Data Engineer/Dev: Integrate Stripe/Wise data sources (anonymously) into the Public Dashboard V1 for Funds Raised KPI, ensuring real-time transparency.</t>
  </si>
  <si>
    <t>🎯 Share Allocation Model (Total = 100 Shares = 100%)</t>
  </si>
  <si>
    <t>Layers &amp; Role Categories with Exact Measures</t>
  </si>
  <si>
    <t>Layer No.</t>
  </si>
  <si>
    <t>Role Category</t>
  </si>
  <si>
    <t>Number of Members</t>
  </si>
  <si>
    <t>Shares per Member</t>
  </si>
  <si>
    <t>% per Member</t>
  </si>
  <si>
    <t>Total % for Category</t>
  </si>
  <si>
    <t>Chairman (Anda)</t>
  </si>
  <si>
    <t>18 shares</t>
  </si>
  <si>
    <t>Committee Members (Governance Board)</t>
  </si>
  <si>
    <t>4 shares each</t>
  </si>
  <si>
    <t>4% each</t>
  </si>
  <si>
    <t>Directors &amp; Deputies (Operational Layer)</t>
  </si>
  <si>
    <t>1.8 shares each*</t>
  </si>
  <si>
    <t>~1.8% each</t>
  </si>
  <si>
    <t>Investors (Tier B – Capital Contributors)</t>
  </si>
  <si>
    <t>Variable (say up to 20 seats)</t>
  </si>
  <si>
    <t>Based on investment – e.g., 1 share per minimum investment unit</t>
  </si>
  <si>
    <t>Variable</t>
  </si>
  <si>
    <t>Up to 20%</t>
  </si>
  <si>
    <t>Public Participants (Tier C – Task/Contribution Based)</t>
  </si>
  <si>
    <t>Variable (open)</t>
  </si>
  <si>
    <t>Micro-shares: e.g., 0.05-0.5 shares depending on performance</t>
  </si>
  <si>
    <t>Role-Based Security and Financial Flow</t>
  </si>
  <si>
    <t>Tier</t>
  </si>
  <si>
    <t>Role</t>
  </si>
  <si>
    <t>Security Deposit</t>
  </si>
  <si>
    <t>Refund Trigger</t>
  </si>
  <si>
    <t>Incentive Rule</t>
  </si>
  <si>
    <t>A</t>
  </si>
  <si>
    <t>Committee</t>
  </si>
  <si>
    <t>$100–$200</t>
  </si>
  <si>
    <t>Task completion (milestone-based)</t>
  </si>
  <si>
    <t>+10–30% bonus if performance &gt;80%</t>
  </si>
  <si>
    <t>B</t>
  </si>
  <si>
    <t>Director</t>
  </si>
  <si>
    <t>$200–$300</t>
  </si>
  <si>
    <t>After project phase close</t>
  </si>
  <si>
    <t>+5–15% based on efficiency</t>
  </si>
  <si>
    <t>C</t>
  </si>
  <si>
    <t>Deputy/Team Leads</t>
  </si>
  <si>
    <t>$50–$100</t>
  </si>
  <si>
    <t>After monthly cycle</t>
  </si>
  <si>
    <t>+5–10% referral or output-based</t>
  </si>
  <si>
    <t>D</t>
  </si>
  <si>
    <t>Investors</t>
  </si>
  <si>
    <t>Capital &gt; $1,000</t>
  </si>
  <si>
    <t>Profit share quarterly</t>
  </si>
  <si>
    <t>ROI 10–15%/cycle</t>
  </si>
  <si>
    <t>E</t>
  </si>
  <si>
    <t>Public Participants</t>
  </si>
  <si>
    <t>None (task-based)</t>
  </si>
  <si>
    <t>Post-validation of work</t>
  </si>
  <si>
    <t>Earn task credits → convert to micro-shares</t>
  </si>
  <si>
    <t>Financial Understanding &amp; Growth Projection</t>
  </si>
  <si>
    <t>Entry Amount</t>
  </si>
  <si>
    <t>No. of Members</t>
  </si>
  <si>
    <t>Total Collected</t>
  </si>
  <si>
    <t>Notes</t>
  </si>
  <si>
    <t>$150 avg</t>
  </si>
  <si>
    <t>Initial governance escrow</t>
  </si>
  <si>
    <t>Directors</t>
  </si>
  <si>
    <t>$250 avg</t>
  </si>
  <si>
    <t>Operational escrow</t>
  </si>
  <si>
    <t>$1,000 avg</t>
  </si>
  <si>
    <t>Growth capital</t>
  </si>
  <si>
    <t>N/A</t>
  </si>
  <si>
    <t>Labor contribution</t>
  </si>
  <si>
    <t>Total Base Funds</t>
  </si>
  <si>
    <t>Initial circulating ecosystem capital</t>
  </si>
  <si>
    <t>✅ Initial Required Setup Items &amp; Approximate Costs</t>
  </si>
  <si>
    <t>Description</t>
  </si>
  <si>
    <t>Approximate Cost*</t>
  </si>
  <si>
    <t>Remarks</t>
  </si>
  <si>
    <t>Product Services Slab List</t>
  </si>
  <si>
    <t>Business account cost per month</t>
  </si>
  <si>
    <t>Web hosting + domain + mailbox/email</t>
  </si>
  <si>
    <r>
      <t>Website for your company + dashboard + participant signup + public transparency page. Shared hosting + domain. (</t>
    </r>
    <r>
      <rPr>
        <color rgb="FF1155CC"/>
        <u/>
      </rPr>
      <t>Forbes</t>
    </r>
    <r>
      <rPr/>
      <t>)</t>
    </r>
  </si>
  <si>
    <t>Hosting ~$5-$15/month for small shared plan. Domain ~$10-$15/year. Mailbox email service maybe $5-$10/month.</t>
  </si>
  <si>
    <t>Hostinger for suggestion</t>
  </si>
  <si>
    <t>Notion</t>
  </si>
  <si>
    <t>Technology subscription (e.g., Notion, etc)</t>
  </si>
  <si>
    <t>Tools for internal operations, tasks platform, dashboards, documentation</t>
  </si>
  <si>
    <t>Notion, GitHub, Huggingface, Docker, OpenAI, Linkedin, Youtube &amp; similar: maybe $5-$10/month per seat (depending)</t>
  </si>
  <si>
    <t>Check Slab for Total monthly cost</t>
  </si>
  <si>
    <t>GitHub</t>
  </si>
  <si>
    <t>AI subscription (e.g., OpenAI API)</t>
  </si>
  <si>
    <t>Since you intend to use AI agents, embeddings, RAG etc. Some cost needs budgeting</t>
  </si>
  <si>
    <t>Varies widely — maybe initial few hundred dollars depending on usage</t>
  </si>
  <si>
    <t>Based on AI enhancements and workflows, rlated to AI technology</t>
  </si>
  <si>
    <t>Huggingface</t>
  </si>
  <si>
    <t>Legal entity registration (LLC or equivalent)</t>
  </si>
  <si>
    <t>To formalize your company, share structure, compliance</t>
  </si>
  <si>
    <r>
      <rPr/>
      <t>Filing fee typically ~$500-$2000 plus one time charges depending on jurisdiction. (</t>
    </r>
    <r>
      <rPr>
        <color rgb="FF1155CC"/>
        <u/>
      </rPr>
      <t>Wolters Kluwer</t>
    </r>
    <r>
      <rPr/>
      <t>)</t>
    </r>
  </si>
  <si>
    <t>Current charges as per doola</t>
  </si>
  <si>
    <t>Docker Business</t>
  </si>
  <si>
    <t>Brand / website design / basic UI for user dashboard</t>
  </si>
  <si>
    <t>To present professional look to users</t>
  </si>
  <si>
    <r>
      <t>Could be minimal if you do it yourself; else budget maybe $500-$2,000 depending on complexity (</t>
    </r>
    <r>
      <rPr>
        <color rgb="FF1155CC"/>
        <u/>
      </rPr>
      <t>WebFX</t>
    </r>
    <r>
      <rPr/>
      <t>)</t>
    </r>
  </si>
  <si>
    <t>Roughly estimated</t>
  </si>
  <si>
    <t>Linkedin Business</t>
  </si>
  <si>
    <t>Marketing start-budget</t>
  </si>
  <si>
    <t>To promote your campaign, run ads, create content, attract first users</t>
  </si>
  <si>
    <t>Depends on scale; maybe start modestly with $1,000-$5,000 (local or niche)</t>
  </si>
  <si>
    <t>Initial start then we'll be add more by requirements and as per stages</t>
  </si>
  <si>
    <t>Linkedin Sales Navigator</t>
  </si>
  <si>
    <t>Cost will include when our sales channel get started, the subscription due time.</t>
  </si>
  <si>
    <t>Payout pool / user earning budget</t>
  </si>
  <si>
    <t>Since you want users to see “dashboard showing money” and then grow it, you need initial funds reserved to pay users/tasks</t>
  </si>
  <si>
    <t>For example, reserve maybe $2,000-$3,000 (or more) to cover first wave of tasks/users</t>
  </si>
  <si>
    <t>Let we assume the exact required amount as payable, after administrative charges.</t>
  </si>
  <si>
    <t>Linkedin Recruiter</t>
  </si>
  <si>
    <t>Cost will include when our Recruiter channel get started, the subscription due time.</t>
  </si>
  <si>
    <t>n8n VPS services</t>
  </si>
  <si>
    <t>Require n8n VPS services for the smooth routing of social media chain and other further handling and enhancements solutions implementations for furthermore stages.</t>
  </si>
  <si>
    <t>Currently, Hostinger charges for n8n VPS server are for a month $19. We need six month going fuel here.</t>
  </si>
  <si>
    <t>Six month on going charges for n8n VPS services.</t>
  </si>
  <si>
    <t>Others</t>
  </si>
  <si>
    <t>KYC/AML Integration</t>
  </si>
  <si>
    <t>Since the initial cost for KYC/AML is vary by services providers in between rang $1500 ~ $3000.</t>
  </si>
  <si>
    <t>Let we could charge here least charges and will growing further by time and requirements.</t>
  </si>
  <si>
    <t>Initial startup charges for registration setup</t>
  </si>
  <si>
    <t>Blockchain integration</t>
  </si>
  <si>
    <t>Since, we'll move with existing Blockchain technology and internally systems Blockchain separately as well. Therefore, we've to ready for the burden of Blockchain SCM initial cost.</t>
  </si>
  <si>
    <t>Now, this system requirements are dual aspect. One is Blockchain technology SCM system charges, which will be upto $60,000/- plus a person or team or group required to handle the chain smartly efficiently which will be cost $150/- per hr. the total cost will be $60,000 + $54000 = $114,000/- complete one time with services cost.</t>
  </si>
  <si>
    <t>We have to maintain this phase, with help of multiple level and stages wise here with determine cost, payment schedule.</t>
  </si>
  <si>
    <t>Total Initial setup charges:</t>
  </si>
  <si>
    <t>Administrative Expenses</t>
  </si>
  <si>
    <t>Salary &amp; wages</t>
  </si>
  <si>
    <t>Since every servicing department/ section/ level/ setup etc. having an operating fee. Therefore, the chairman expect remuneration (as compensation for the purpose and at beginning, only for) for the 15 days period only. However, the salary would be review on further stages and must be raised by time. Perks and accomodations lists are separately describe and pertains a value as well.</t>
  </si>
  <si>
    <t>The initial starting remuneration (salary pay-scaling) for the period of month is $6000/- (Six thousand dollars only).</t>
  </si>
  <si>
    <t>Current charges for 15 days</t>
  </si>
  <si>
    <t>Documentation Expense</t>
  </si>
  <si>
    <t xml:space="preserve">For the sake of alive the project, we need to follow heavy documentations flow here, therefore we'd pay for it to handle everything organized and precisely for system stabilization. The on further stages we'll be implement the AI autonomous system for documentation handling </t>
  </si>
  <si>
    <t>The initial Documentations handling cost currently $500/- (Five hundred dollars) which is due to it preparations and research and functionalities are including. perhaps running in market, now.</t>
  </si>
  <si>
    <t>Initially paying attention charges as for documentations, as just half.</t>
  </si>
  <si>
    <t>Total Administrative charges:</t>
  </si>
  <si>
    <t>Total</t>
  </si>
  <si>
    <t>Total Initial business setup required capital: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</si>
</sst>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0&quot;$&quot;"/>
  </numFmts>
  <fonts count="11">
    <font>
      <sz val="10.0"/>
      <color rgb="FF000000"/>
      <name val="Arial"/>
      <scheme val="minor"/>
    </font>
    <font>
      <color theme="1"/>
      <name val="Arial"/>
      <scheme val="minor"/>
    </font>
    <font>
      <b/>
      <color rgb="FF1B1C1D"/>
      <name val="&quot;Google Sans Text&quot;"/>
    </font>
    <font>
      <color rgb="FF1B1C1D"/>
      <name val="&quot;Google Sans Text&quot;"/>
    </font>
    <font>
      <b/>
      <color theme="1"/>
      <name val="Arial"/>
      <scheme val="minor"/>
    </font>
    <font>
      <u/>
      <color rgb="FF0000FF"/>
    </font>
    <font>
      <u/>
      <color rgb="FF0000FF"/>
    </font>
    <font>
      <b/>
      <i/>
      <color theme="1"/>
      <name val="Arial"/>
      <scheme val="minor"/>
    </font>
    <font>
      <i/>
      <color theme="1"/>
      <name val="Arial"/>
      <scheme val="minor"/>
    </font>
    <font>
      <b/>
      <i/>
      <u/>
      <color theme="1"/>
      <name val="Arial"/>
      <scheme val="minor"/>
    </font>
    <font>
      <b/>
      <u/>
      <color theme="1"/>
      <name val="Arial"/>
      <scheme val="minor"/>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center" wrapText="1"/>
    </xf>
    <xf borderId="0" fillId="2"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2" fontId="2" numFmtId="0" xfId="0" applyAlignment="1" applyFont="1">
      <alignment horizontal="center" readingOrder="0" vertical="center"/>
    </xf>
    <xf borderId="0" fillId="2" fontId="2" numFmtId="0" xfId="0" applyAlignment="1" applyFont="1">
      <alignment readingOrder="0" vertical="center"/>
    </xf>
    <xf borderId="0" fillId="0" fontId="2" numFmtId="0" xfId="0" applyAlignment="1" applyFont="1">
      <alignment readingOrder="0"/>
    </xf>
    <xf borderId="0" fillId="2" fontId="2" numFmtId="0" xfId="0" applyAlignment="1" applyFont="1">
      <alignment readingOrder="0"/>
    </xf>
    <xf borderId="0" fillId="0" fontId="1" numFmtId="0" xfId="0" applyAlignment="1" applyFont="1">
      <alignment vertical="center"/>
    </xf>
    <xf borderId="0" fillId="0" fontId="3" numFmtId="0" xfId="0" applyAlignment="1" applyFont="1">
      <alignment horizontal="center" readingOrder="0" shrinkToFit="0" vertical="center" wrapText="1"/>
    </xf>
    <xf borderId="0" fillId="0" fontId="3" numFmtId="9" xfId="0" applyAlignment="1" applyFont="1" applyNumberFormat="1">
      <alignment horizontal="center" readingOrder="0" shrinkToFit="0" vertical="center" wrapText="1"/>
    </xf>
    <xf borderId="0" fillId="0" fontId="4" numFmtId="0" xfId="0" applyAlignment="1" applyFont="1">
      <alignment readingOrder="0"/>
    </xf>
    <xf borderId="0" fillId="0" fontId="1" numFmtId="0" xfId="0" applyAlignment="1" applyFont="1">
      <alignment horizontal="center"/>
    </xf>
    <xf borderId="0" fillId="0" fontId="3" numFmtId="164" xfId="0" applyAlignment="1" applyFont="1" applyNumberFormat="1">
      <alignment readingOrder="0" shrinkToFit="0" vertical="center" wrapText="1"/>
    </xf>
    <xf quotePrefix="1" borderId="0" fillId="0" fontId="3" numFmtId="0" xfId="0" applyAlignment="1" applyFont="1">
      <alignment readingOrder="0" shrinkToFit="0" vertical="center" wrapText="1"/>
    </xf>
    <xf borderId="0" fillId="2" fontId="4"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9" xfId="0" applyAlignment="1" applyFont="1" applyNumberFormat="1">
      <alignment horizontal="center" readingOrder="0" vertical="center"/>
    </xf>
    <xf quotePrefix="1" borderId="0" fillId="0" fontId="1" numFmtId="0" xfId="0" applyAlignment="1" applyFont="1">
      <alignment horizontal="center" readingOrder="0" vertical="center"/>
    </xf>
    <xf borderId="0" fillId="2" fontId="1" numFmtId="0" xfId="0" applyAlignment="1" applyFont="1">
      <alignment horizontal="center" readingOrder="0"/>
    </xf>
    <xf borderId="0" fillId="0" fontId="1" numFmtId="0" xfId="0" applyAlignment="1" applyFont="1">
      <alignment horizontal="center" readingOrder="0"/>
    </xf>
    <xf borderId="0" fillId="0" fontId="1" numFmtId="164" xfId="0" applyAlignment="1" applyFont="1" applyNumberFormat="1">
      <alignment readingOrder="0"/>
    </xf>
    <xf borderId="0" fillId="2" fontId="4"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1" numFmtId="165" xfId="0" applyAlignment="1" applyFont="1" applyNumberFormat="1">
      <alignment readingOrder="0" shrinkToFit="0" vertical="center" wrapText="1"/>
    </xf>
    <xf borderId="0" fillId="0" fontId="1" numFmtId="166" xfId="0" applyAlignment="1" applyFont="1" applyNumberFormat="1">
      <alignment readingOrder="0" vertical="center"/>
    </xf>
    <xf borderId="0" fillId="0" fontId="6" numFmtId="0" xfId="0" applyAlignment="1" applyFont="1">
      <alignment readingOrder="0" shrinkToFit="0" vertical="center" wrapText="1"/>
    </xf>
    <xf borderId="0" fillId="0" fontId="1" numFmtId="165" xfId="0" applyAlignment="1" applyFont="1" applyNumberFormat="1">
      <alignment vertical="center"/>
    </xf>
    <xf borderId="0" fillId="0" fontId="1" numFmtId="165" xfId="0" applyAlignment="1" applyFont="1" applyNumberFormat="1">
      <alignment readingOrder="0" vertical="center"/>
    </xf>
    <xf borderId="0" fillId="0" fontId="7" numFmtId="0" xfId="0" applyAlignment="1" applyFont="1">
      <alignment horizontal="right" readingOrder="0" vertical="center"/>
    </xf>
    <xf borderId="0" fillId="0" fontId="4" numFmtId="165" xfId="0" applyFont="1" applyNumberFormat="1"/>
    <xf borderId="0" fillId="0" fontId="1" numFmtId="0" xfId="0" applyAlignment="1" applyFont="1">
      <alignment horizontal="left" readingOrder="0" shrinkToFit="0" vertical="center" wrapText="1"/>
    </xf>
    <xf borderId="0" fillId="0" fontId="1" numFmtId="165" xfId="0" applyAlignment="1" applyFont="1" applyNumberFormat="1">
      <alignment shrinkToFit="0" vertical="center" wrapText="0"/>
    </xf>
    <xf borderId="0" fillId="0" fontId="4" numFmtId="165" xfId="0" applyAlignment="1" applyFont="1" applyNumberFormat="1">
      <alignment vertical="center"/>
    </xf>
    <xf borderId="0" fillId="0" fontId="8" numFmtId="0" xfId="0" applyAlignment="1" applyFont="1">
      <alignment horizontal="center" readingOrder="0"/>
    </xf>
    <xf borderId="0" fillId="0" fontId="4" numFmtId="166" xfId="0" applyFont="1" applyNumberFormat="1"/>
    <xf borderId="0" fillId="0" fontId="9" numFmtId="0" xfId="0" applyAlignment="1" applyFont="1">
      <alignment horizontal="right" readingOrder="0"/>
    </xf>
    <xf borderId="0" fillId="0" fontId="10" numFmtId="165"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orbes.com/advisor/business/website-hosting-cost/?utm_source=chatgpt.com" TargetMode="External"/><Relationship Id="rId2" Type="http://schemas.openxmlformats.org/officeDocument/2006/relationships/hyperlink" Target="https://www.wolterskluwer.com/en/expert-insights/how-much-does-it-cost-to-start-an-llc?utm_source=chatgpt.com" TargetMode="External"/><Relationship Id="rId3" Type="http://schemas.openxmlformats.org/officeDocument/2006/relationships/hyperlink" Target="https://www.webfx.com/blog/web-design/how-much-does-it-cost-to-build-a-website-for-a-small-business/?utm_source=chatgpt.com"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
    <col customWidth="1" min="3" max="3" width="23.0"/>
    <col customWidth="1" min="4" max="5" width="37.75"/>
  </cols>
  <sheetData>
    <row r="4">
      <c r="C4" s="1" t="s">
        <v>0</v>
      </c>
    </row>
    <row r="5">
      <c r="C5" s="1" t="s">
        <v>1</v>
      </c>
    </row>
    <row r="7">
      <c r="B7" s="2" t="s">
        <v>2</v>
      </c>
      <c r="C7" s="3" t="s">
        <v>3</v>
      </c>
      <c r="D7" s="3" t="s">
        <v>4</v>
      </c>
      <c r="E7" s="3" t="s">
        <v>5</v>
      </c>
    </row>
    <row r="8">
      <c r="B8" s="4">
        <v>1.1</v>
      </c>
      <c r="C8" s="5" t="s">
        <v>6</v>
      </c>
      <c r="D8" s="5" t="s">
        <v>7</v>
      </c>
      <c r="E8" s="5" t="s">
        <v>8</v>
      </c>
      <c r="H8" s="1" t="s">
        <v>9</v>
      </c>
    </row>
    <row r="9">
      <c r="B9" s="4">
        <v>1.2</v>
      </c>
      <c r="C9" s="5" t="s">
        <v>10</v>
      </c>
      <c r="D9" s="5" t="s">
        <v>11</v>
      </c>
      <c r="E9" s="5" t="s">
        <v>12</v>
      </c>
    </row>
    <row r="10">
      <c r="B10" s="4">
        <v>1.3</v>
      </c>
      <c r="C10" s="5" t="s">
        <v>13</v>
      </c>
      <c r="D10" s="5" t="s">
        <v>14</v>
      </c>
      <c r="E10" s="5" t="s">
        <v>15</v>
      </c>
    </row>
    <row r="11">
      <c r="B11" s="4">
        <v>1.4</v>
      </c>
      <c r="C11" s="5" t="s">
        <v>16</v>
      </c>
      <c r="D11" s="5" t="s">
        <v>17</v>
      </c>
      <c r="E11" s="5" t="s">
        <v>18</v>
      </c>
    </row>
    <row r="14">
      <c r="C14" s="1" t="s">
        <v>19</v>
      </c>
    </row>
    <row r="15">
      <c r="C15" s="1" t="s">
        <v>20</v>
      </c>
    </row>
    <row r="17">
      <c r="B17" s="6" t="s">
        <v>2</v>
      </c>
      <c r="C17" s="7" t="s">
        <v>3</v>
      </c>
      <c r="D17" s="7" t="s">
        <v>4</v>
      </c>
      <c r="E17" s="7" t="s">
        <v>5</v>
      </c>
    </row>
    <row r="18">
      <c r="B18" s="4">
        <v>2.1</v>
      </c>
      <c r="C18" s="5" t="s">
        <v>21</v>
      </c>
      <c r="D18" s="5" t="s">
        <v>22</v>
      </c>
      <c r="E18" s="5" t="s">
        <v>23</v>
      </c>
    </row>
    <row r="19">
      <c r="B19" s="4">
        <v>2.2</v>
      </c>
      <c r="C19" s="5" t="s">
        <v>24</v>
      </c>
      <c r="D19" s="5" t="s">
        <v>25</v>
      </c>
      <c r="E19" s="5" t="s">
        <v>26</v>
      </c>
    </row>
    <row r="20">
      <c r="B20" s="4">
        <v>2.3</v>
      </c>
      <c r="C20" s="5" t="s">
        <v>27</v>
      </c>
      <c r="D20" s="5" t="s">
        <v>28</v>
      </c>
      <c r="E20" s="5" t="s">
        <v>29</v>
      </c>
    </row>
    <row r="24">
      <c r="C24" s="1" t="s">
        <v>30</v>
      </c>
    </row>
    <row r="25">
      <c r="C25" s="1" t="s">
        <v>31</v>
      </c>
    </row>
    <row r="27">
      <c r="B27" s="6" t="s">
        <v>2</v>
      </c>
      <c r="C27" s="7" t="s">
        <v>3</v>
      </c>
      <c r="D27" s="7" t="s">
        <v>4</v>
      </c>
      <c r="E27" s="7" t="s">
        <v>5</v>
      </c>
    </row>
    <row r="28">
      <c r="B28" s="4">
        <v>3.1</v>
      </c>
      <c r="C28" s="5" t="s">
        <v>32</v>
      </c>
      <c r="D28" s="5" t="s">
        <v>33</v>
      </c>
      <c r="E28" s="5" t="s">
        <v>34</v>
      </c>
    </row>
    <row r="29">
      <c r="B29" s="4">
        <v>3.2</v>
      </c>
      <c r="C29" s="5" t="s">
        <v>35</v>
      </c>
      <c r="D29" s="5" t="s">
        <v>36</v>
      </c>
      <c r="E29" s="5" t="s">
        <v>37</v>
      </c>
    </row>
    <row r="30">
      <c r="B30" s="4">
        <v>3.3</v>
      </c>
      <c r="C30" s="5" t="s">
        <v>38</v>
      </c>
      <c r="D30" s="5" t="s">
        <v>39</v>
      </c>
      <c r="E30" s="5" t="s">
        <v>40</v>
      </c>
    </row>
    <row r="33">
      <c r="C33" s="1" t="s">
        <v>41</v>
      </c>
    </row>
    <row r="34">
      <c r="C34" s="1" t="s">
        <v>42</v>
      </c>
    </row>
    <row r="36">
      <c r="B36" s="6" t="s">
        <v>2</v>
      </c>
      <c r="C36" s="7" t="s">
        <v>43</v>
      </c>
      <c r="D36" s="7" t="s">
        <v>44</v>
      </c>
      <c r="E36" s="7" t="s">
        <v>45</v>
      </c>
    </row>
    <row r="37">
      <c r="B37" s="1">
        <v>1.1</v>
      </c>
      <c r="C37" s="5" t="s">
        <v>46</v>
      </c>
      <c r="D37" s="5" t="s">
        <v>47</v>
      </c>
      <c r="E37" s="5" t="s">
        <v>48</v>
      </c>
    </row>
    <row r="38">
      <c r="B38" s="1">
        <v>1.2</v>
      </c>
      <c r="C38" s="5" t="s">
        <v>49</v>
      </c>
      <c r="D38" s="5" t="s">
        <v>50</v>
      </c>
      <c r="E38" s="5" t="s">
        <v>51</v>
      </c>
    </row>
    <row r="39">
      <c r="B39" s="1">
        <v>1.3</v>
      </c>
      <c r="C39" s="5" t="s">
        <v>52</v>
      </c>
      <c r="D39" s="5" t="s">
        <v>53</v>
      </c>
      <c r="E39" s="5" t="s">
        <v>54</v>
      </c>
    </row>
    <row r="40">
      <c r="B40" s="1">
        <v>1.4</v>
      </c>
      <c r="C40" s="5" t="s">
        <v>55</v>
      </c>
      <c r="D40" s="5" t="s">
        <v>56</v>
      </c>
      <c r="E40" s="5" t="s">
        <v>57</v>
      </c>
    </row>
    <row r="41">
      <c r="C41" s="5" t="s">
        <v>58</v>
      </c>
      <c r="D41" s="5" t="s">
        <v>59</v>
      </c>
      <c r="E41" s="5"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
    <col customWidth="1" min="3" max="3" width="31.13"/>
    <col customWidth="1" min="4" max="4" width="22.75"/>
    <col customWidth="1" min="5" max="5" width="53.5"/>
  </cols>
  <sheetData>
    <row r="3">
      <c r="B3" s="1"/>
      <c r="C3" s="1" t="s">
        <v>61</v>
      </c>
    </row>
    <row r="4">
      <c r="B4" s="8"/>
      <c r="C4" s="8"/>
      <c r="D4" s="8"/>
      <c r="E4" s="8"/>
    </row>
    <row r="5">
      <c r="B5" s="7" t="s">
        <v>2</v>
      </c>
      <c r="C5" s="9" t="s">
        <v>62</v>
      </c>
      <c r="D5" s="9" t="s">
        <v>63</v>
      </c>
      <c r="E5" s="9" t="s">
        <v>64</v>
      </c>
    </row>
    <row r="6" ht="30.0" customHeight="1">
      <c r="A6" s="10"/>
      <c r="B6" s="11">
        <v>1.0</v>
      </c>
      <c r="C6" s="5" t="s">
        <v>65</v>
      </c>
      <c r="D6" s="11" t="s">
        <v>66</v>
      </c>
      <c r="E6" s="5" t="s">
        <v>67</v>
      </c>
      <c r="F6" s="10"/>
      <c r="G6" s="10"/>
      <c r="H6" s="10"/>
      <c r="I6" s="10"/>
      <c r="J6" s="10"/>
      <c r="K6" s="10"/>
      <c r="L6" s="10"/>
      <c r="M6" s="10"/>
      <c r="N6" s="10"/>
      <c r="O6" s="10"/>
      <c r="P6" s="10"/>
      <c r="Q6" s="10"/>
      <c r="R6" s="10"/>
      <c r="S6" s="10"/>
      <c r="T6" s="10"/>
      <c r="U6" s="10"/>
      <c r="V6" s="10"/>
      <c r="W6" s="10"/>
      <c r="X6" s="10"/>
      <c r="Y6" s="10"/>
      <c r="Z6" s="10"/>
      <c r="AA6" s="10"/>
    </row>
    <row r="7" ht="30.0" customHeight="1">
      <c r="A7" s="10"/>
      <c r="B7" s="11">
        <v>2.0</v>
      </c>
      <c r="C7" s="5" t="s">
        <v>68</v>
      </c>
      <c r="D7" s="11" t="s">
        <v>69</v>
      </c>
      <c r="E7" s="5" t="s">
        <v>70</v>
      </c>
      <c r="F7" s="10"/>
      <c r="G7" s="10"/>
      <c r="H7" s="10"/>
      <c r="I7" s="10"/>
      <c r="J7" s="10"/>
      <c r="K7" s="10"/>
      <c r="L7" s="10"/>
      <c r="M7" s="10"/>
      <c r="N7" s="10"/>
      <c r="O7" s="10"/>
      <c r="P7" s="10"/>
      <c r="Q7" s="10"/>
      <c r="R7" s="10"/>
      <c r="S7" s="10"/>
      <c r="T7" s="10"/>
      <c r="U7" s="10"/>
      <c r="V7" s="10"/>
      <c r="W7" s="10"/>
      <c r="X7" s="10"/>
      <c r="Y7" s="10"/>
      <c r="Z7" s="10"/>
      <c r="AA7" s="10"/>
    </row>
    <row r="8" ht="30.0" customHeight="1">
      <c r="A8" s="10"/>
      <c r="B8" s="11">
        <v>3.0</v>
      </c>
      <c r="C8" s="5" t="s">
        <v>71</v>
      </c>
      <c r="D8" s="12">
        <v>0.35</v>
      </c>
      <c r="E8" s="5" t="s">
        <v>72</v>
      </c>
      <c r="F8" s="10"/>
      <c r="G8" s="10"/>
      <c r="H8" s="10"/>
      <c r="I8" s="10"/>
      <c r="J8" s="10"/>
      <c r="K8" s="10"/>
      <c r="L8" s="10"/>
      <c r="M8" s="10"/>
      <c r="N8" s="10"/>
      <c r="O8" s="10"/>
      <c r="P8" s="10"/>
      <c r="Q8" s="10"/>
      <c r="R8" s="10"/>
      <c r="S8" s="10"/>
      <c r="T8" s="10"/>
      <c r="U8" s="10"/>
      <c r="V8" s="10"/>
      <c r="W8" s="10"/>
      <c r="X8" s="10"/>
      <c r="Y8" s="10"/>
      <c r="Z8" s="10"/>
      <c r="AA8" s="10"/>
    </row>
    <row r="9" ht="30.0" customHeight="1">
      <c r="A9" s="10"/>
      <c r="B9" s="11">
        <v>4.0</v>
      </c>
      <c r="C9" s="5" t="s">
        <v>73</v>
      </c>
      <c r="D9" s="11" t="s">
        <v>74</v>
      </c>
      <c r="E9" s="5" t="s">
        <v>75</v>
      </c>
      <c r="F9" s="10"/>
      <c r="G9" s="10"/>
      <c r="H9" s="10"/>
      <c r="I9" s="10"/>
      <c r="J9" s="10"/>
      <c r="K9" s="10"/>
      <c r="L9" s="10"/>
      <c r="M9" s="10"/>
      <c r="N9" s="10"/>
      <c r="O9" s="10"/>
      <c r="P9" s="10"/>
      <c r="Q9" s="10"/>
      <c r="R9" s="10"/>
      <c r="S9" s="10"/>
      <c r="T9" s="10"/>
      <c r="U9" s="10"/>
      <c r="V9" s="10"/>
      <c r="W9" s="10"/>
      <c r="X9" s="10"/>
      <c r="Y9" s="10"/>
      <c r="Z9" s="10"/>
      <c r="AA9" s="10"/>
    </row>
    <row r="12">
      <c r="B12" s="1"/>
      <c r="C12" s="1" t="s">
        <v>76</v>
      </c>
    </row>
    <row r="14">
      <c r="B14" s="1"/>
      <c r="C14" s="1" t="s">
        <v>77</v>
      </c>
    </row>
    <row r="15">
      <c r="B15" s="1"/>
      <c r="C15" s="1" t="s">
        <v>78</v>
      </c>
    </row>
    <row r="16">
      <c r="B16" s="1"/>
      <c r="C16" s="1" t="s">
        <v>79</v>
      </c>
    </row>
    <row r="17">
      <c r="B17" s="1"/>
      <c r="C17" s="1" t="s">
        <v>80</v>
      </c>
    </row>
    <row r="19">
      <c r="B19" s="1"/>
      <c r="C19" s="1" t="s">
        <v>81</v>
      </c>
    </row>
    <row r="20">
      <c r="C20" s="1" t="s">
        <v>82</v>
      </c>
    </row>
    <row r="21">
      <c r="C21" s="13"/>
    </row>
    <row r="22">
      <c r="B22" s="7" t="s">
        <v>2</v>
      </c>
      <c r="C22" s="7" t="s">
        <v>83</v>
      </c>
      <c r="D22" s="7" t="s">
        <v>84</v>
      </c>
      <c r="E22" s="7" t="s">
        <v>5</v>
      </c>
    </row>
    <row r="23">
      <c r="B23" s="11" t="s">
        <v>85</v>
      </c>
      <c r="C23" s="5" t="s">
        <v>86</v>
      </c>
      <c r="D23" s="5" t="s">
        <v>87</v>
      </c>
      <c r="E23" s="5" t="s">
        <v>88</v>
      </c>
    </row>
    <row r="24">
      <c r="B24" s="11" t="s">
        <v>89</v>
      </c>
      <c r="C24" s="5" t="s">
        <v>90</v>
      </c>
      <c r="D24" s="5" t="s">
        <v>91</v>
      </c>
      <c r="E24" s="5" t="s">
        <v>92</v>
      </c>
    </row>
    <row r="25">
      <c r="B25" s="11" t="s">
        <v>93</v>
      </c>
      <c r="C25" s="5" t="s">
        <v>94</v>
      </c>
      <c r="D25" s="5" t="s">
        <v>95</v>
      </c>
      <c r="E25" s="5" t="s">
        <v>96</v>
      </c>
    </row>
    <row r="26">
      <c r="B26" s="11" t="s">
        <v>97</v>
      </c>
      <c r="C26" s="5" t="s">
        <v>98</v>
      </c>
      <c r="D26" s="5" t="s">
        <v>99</v>
      </c>
      <c r="E26" s="5" t="s">
        <v>100</v>
      </c>
    </row>
    <row r="27">
      <c r="B27" s="14"/>
    </row>
    <row r="28">
      <c r="B28" s="14"/>
      <c r="C28" s="1" t="s">
        <v>101</v>
      </c>
    </row>
    <row r="29">
      <c r="B29" s="14"/>
      <c r="C29" s="1" t="s">
        <v>102</v>
      </c>
    </row>
    <row r="30">
      <c r="B30" s="14"/>
    </row>
    <row r="31">
      <c r="B31" s="7" t="s">
        <v>2</v>
      </c>
      <c r="C31" s="7" t="s">
        <v>83</v>
      </c>
      <c r="D31" s="7" t="s">
        <v>84</v>
      </c>
      <c r="E31" s="7" t="s">
        <v>5</v>
      </c>
    </row>
    <row r="32">
      <c r="B32" s="11" t="s">
        <v>103</v>
      </c>
      <c r="C32" s="5" t="s">
        <v>104</v>
      </c>
      <c r="D32" s="5" t="s">
        <v>105</v>
      </c>
      <c r="E32" s="5" t="s">
        <v>106</v>
      </c>
    </row>
    <row r="33">
      <c r="B33" s="11" t="s">
        <v>107</v>
      </c>
      <c r="C33" s="5" t="s">
        <v>108</v>
      </c>
      <c r="D33" s="5" t="s">
        <v>109</v>
      </c>
      <c r="E33" s="5" t="s">
        <v>110</v>
      </c>
    </row>
    <row r="35">
      <c r="C35" s="1" t="s">
        <v>111</v>
      </c>
    </row>
    <row r="36">
      <c r="C36" s="1" t="s">
        <v>112</v>
      </c>
    </row>
    <row r="38">
      <c r="B38" s="7" t="s">
        <v>2</v>
      </c>
      <c r="C38" s="7" t="s">
        <v>113</v>
      </c>
      <c r="D38" s="7" t="s">
        <v>114</v>
      </c>
      <c r="E38" s="7" t="s">
        <v>115</v>
      </c>
    </row>
    <row r="39">
      <c r="B39" s="11">
        <v>1.0</v>
      </c>
      <c r="C39" s="5" t="s">
        <v>116</v>
      </c>
      <c r="D39" s="5" t="s">
        <v>117</v>
      </c>
      <c r="E39" s="5" t="s">
        <v>118</v>
      </c>
    </row>
    <row r="40">
      <c r="B40" s="11">
        <v>2.0</v>
      </c>
      <c r="C40" s="5" t="s">
        <v>119</v>
      </c>
      <c r="D40" s="5" t="s">
        <v>120</v>
      </c>
      <c r="E40" s="5" t="s">
        <v>121</v>
      </c>
    </row>
    <row r="41">
      <c r="B41" s="11">
        <v>3.0</v>
      </c>
      <c r="C41" s="5" t="s">
        <v>122</v>
      </c>
      <c r="D41" s="5" t="s">
        <v>123</v>
      </c>
      <c r="E41" s="5" t="s">
        <v>124</v>
      </c>
    </row>
    <row r="42">
      <c r="B42" s="11">
        <v>4.0</v>
      </c>
      <c r="C42" s="5" t="s">
        <v>125</v>
      </c>
      <c r="D42" s="5" t="s">
        <v>126</v>
      </c>
      <c r="E42" s="5" t="s">
        <v>127</v>
      </c>
    </row>
    <row r="44">
      <c r="C44" s="1" t="s">
        <v>128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
    <col customWidth="1" min="3" max="3" width="34.13"/>
    <col customWidth="1" min="4" max="4" width="19.75"/>
    <col customWidth="1" min="5" max="5" width="38.63"/>
    <col customWidth="1" min="6" max="6" width="40.25"/>
  </cols>
  <sheetData>
    <row r="3">
      <c r="B3" s="1"/>
      <c r="C3" s="1" t="s">
        <v>129</v>
      </c>
    </row>
    <row r="4">
      <c r="B4" s="1"/>
      <c r="C4" s="1" t="s">
        <v>130</v>
      </c>
    </row>
    <row r="6">
      <c r="B6" s="1"/>
      <c r="C6" s="1" t="s">
        <v>131</v>
      </c>
    </row>
    <row r="7">
      <c r="B7" s="7" t="s">
        <v>2</v>
      </c>
      <c r="C7" s="7" t="s">
        <v>62</v>
      </c>
      <c r="D7" s="7" t="s">
        <v>63</v>
      </c>
      <c r="E7" s="7" t="s">
        <v>132</v>
      </c>
      <c r="F7" s="7" t="s">
        <v>133</v>
      </c>
    </row>
    <row r="8">
      <c r="B8" s="11">
        <v>1.1</v>
      </c>
      <c r="C8" s="5" t="s">
        <v>134</v>
      </c>
      <c r="D8" s="15">
        <v>10000.0</v>
      </c>
      <c r="E8" s="5" t="s">
        <v>135</v>
      </c>
      <c r="F8" s="5" t="s">
        <v>136</v>
      </c>
    </row>
    <row r="9">
      <c r="B9" s="11">
        <v>1.2</v>
      </c>
      <c r="C9" s="5" t="s">
        <v>137</v>
      </c>
      <c r="D9" s="15">
        <v>6500.0</v>
      </c>
      <c r="E9" s="5" t="s">
        <v>138</v>
      </c>
      <c r="F9" s="5" t="s">
        <v>139</v>
      </c>
    </row>
    <row r="10">
      <c r="B10" s="11">
        <v>1.3</v>
      </c>
      <c r="C10" s="5" t="s">
        <v>140</v>
      </c>
      <c r="D10" s="15">
        <v>3500.0</v>
      </c>
      <c r="E10" s="5" t="s">
        <v>141</v>
      </c>
      <c r="F10" s="5" t="s">
        <v>142</v>
      </c>
    </row>
    <row r="13">
      <c r="C13" s="1" t="s">
        <v>143</v>
      </c>
    </row>
    <row r="14">
      <c r="C14" s="1" t="s">
        <v>144</v>
      </c>
    </row>
    <row r="16">
      <c r="B16" s="7" t="s">
        <v>2</v>
      </c>
      <c r="C16" s="7" t="s">
        <v>62</v>
      </c>
      <c r="D16" s="7" t="s">
        <v>63</v>
      </c>
      <c r="E16" s="7" t="s">
        <v>64</v>
      </c>
      <c r="F16" s="7"/>
    </row>
    <row r="17">
      <c r="B17" s="11">
        <v>2.1</v>
      </c>
      <c r="C17" s="5" t="s">
        <v>145</v>
      </c>
      <c r="D17" s="15">
        <v>10.0</v>
      </c>
      <c r="E17" s="5" t="s">
        <v>146</v>
      </c>
      <c r="F17" s="5"/>
    </row>
    <row r="18">
      <c r="B18" s="11">
        <v>2.2</v>
      </c>
      <c r="C18" s="5" t="s">
        <v>147</v>
      </c>
      <c r="D18" s="15">
        <v>90.0</v>
      </c>
      <c r="E18" s="5" t="s">
        <v>148</v>
      </c>
      <c r="F18" s="5"/>
    </row>
    <row r="19">
      <c r="B19" s="11">
        <v>2.3</v>
      </c>
      <c r="C19" s="5" t="s">
        <v>149</v>
      </c>
      <c r="D19" s="15">
        <v>5850.0</v>
      </c>
      <c r="E19" s="5" t="s">
        <v>150</v>
      </c>
      <c r="F19" s="5"/>
    </row>
    <row r="21">
      <c r="C21" s="1" t="s">
        <v>151</v>
      </c>
    </row>
    <row r="23">
      <c r="C23" s="1" t="s">
        <v>152</v>
      </c>
    </row>
    <row r="24">
      <c r="C24" s="1" t="s">
        <v>153</v>
      </c>
    </row>
    <row r="26">
      <c r="B26" s="7" t="s">
        <v>2</v>
      </c>
      <c r="C26" s="7" t="s">
        <v>154</v>
      </c>
      <c r="D26" s="7" t="s">
        <v>155</v>
      </c>
      <c r="E26" s="7" t="s">
        <v>156</v>
      </c>
    </row>
    <row r="27">
      <c r="B27" s="11">
        <v>3.1</v>
      </c>
      <c r="C27" s="5" t="s">
        <v>157</v>
      </c>
      <c r="D27" s="15" t="s">
        <v>158</v>
      </c>
      <c r="E27" s="16" t="s">
        <v>159</v>
      </c>
    </row>
    <row r="28">
      <c r="B28" s="11">
        <v>3.2</v>
      </c>
      <c r="C28" s="5" t="s">
        <v>160</v>
      </c>
      <c r="D28" s="15" t="s">
        <v>161</v>
      </c>
      <c r="E28" s="5" t="s">
        <v>162</v>
      </c>
    </row>
    <row r="29">
      <c r="B29" s="11">
        <v>3.3</v>
      </c>
      <c r="C29" s="5" t="s">
        <v>163</v>
      </c>
      <c r="D29" s="15" t="s">
        <v>164</v>
      </c>
      <c r="E29" s="5" t="s">
        <v>165</v>
      </c>
    </row>
    <row r="31">
      <c r="C31" s="1" t="s">
        <v>166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
    <col customWidth="1" min="5" max="5" width="101.5"/>
  </cols>
  <sheetData>
    <row r="3">
      <c r="B3" s="1"/>
      <c r="C3" s="1" t="s">
        <v>167</v>
      </c>
    </row>
    <row r="4">
      <c r="B4" s="1"/>
      <c r="C4" s="1" t="s">
        <v>168</v>
      </c>
    </row>
    <row r="6">
      <c r="B6" s="2" t="s">
        <v>2</v>
      </c>
      <c r="C6" s="3" t="s">
        <v>169</v>
      </c>
      <c r="D6" s="3" t="s">
        <v>170</v>
      </c>
      <c r="E6" s="3" t="s">
        <v>171</v>
      </c>
    </row>
    <row r="7">
      <c r="B7" s="11">
        <v>1.0</v>
      </c>
      <c r="C7" s="5" t="s">
        <v>172</v>
      </c>
      <c r="D7" s="5" t="s">
        <v>173</v>
      </c>
      <c r="E7" s="5" t="s">
        <v>174</v>
      </c>
    </row>
    <row r="8">
      <c r="B8" s="11">
        <v>2.0</v>
      </c>
      <c r="C8" s="5" t="s">
        <v>175</v>
      </c>
      <c r="D8" s="5" t="s">
        <v>176</v>
      </c>
      <c r="E8" s="5" t="s">
        <v>177</v>
      </c>
    </row>
    <row r="9">
      <c r="B9" s="11">
        <v>3.0</v>
      </c>
      <c r="C9" s="5" t="s">
        <v>178</v>
      </c>
      <c r="D9" s="5" t="s">
        <v>179</v>
      </c>
      <c r="E9" s="5" t="s">
        <v>180</v>
      </c>
    </row>
    <row r="10">
      <c r="B10" s="11">
        <v>4.0</v>
      </c>
      <c r="C10" s="5" t="s">
        <v>181</v>
      </c>
      <c r="D10" s="5" t="s">
        <v>182</v>
      </c>
      <c r="E10" s="5" t="s">
        <v>183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
    <col customWidth="1" min="3" max="3" width="40.63"/>
    <col customWidth="1" min="4" max="4" width="22.13"/>
    <col customWidth="1" min="5" max="5" width="49.5"/>
    <col customWidth="1" min="6" max="6" width="33.38"/>
    <col customWidth="1" min="9" max="9" width="14.75"/>
    <col customWidth="1" min="10" max="10" width="11.13"/>
    <col customWidth="1" min="11" max="11" width="12.88"/>
    <col customWidth="1" min="12" max="12" width="11.88"/>
    <col customWidth="1" min="13" max="13" width="26.5"/>
  </cols>
  <sheetData>
    <row r="2">
      <c r="C2" s="1" t="s">
        <v>184</v>
      </c>
    </row>
    <row r="3">
      <c r="C3" s="1" t="s">
        <v>185</v>
      </c>
    </row>
    <row r="5">
      <c r="B5" s="17" t="s">
        <v>186</v>
      </c>
      <c r="C5" s="17" t="s">
        <v>187</v>
      </c>
      <c r="D5" s="17" t="s">
        <v>188</v>
      </c>
      <c r="E5" s="17" t="s">
        <v>189</v>
      </c>
      <c r="F5" s="17" t="s">
        <v>190</v>
      </c>
      <c r="G5" s="17" t="s">
        <v>191</v>
      </c>
    </row>
    <row r="6">
      <c r="B6" s="18">
        <v>1.0</v>
      </c>
      <c r="C6" s="19" t="s">
        <v>192</v>
      </c>
      <c r="D6" s="18">
        <v>1.0</v>
      </c>
      <c r="E6" s="18" t="s">
        <v>193</v>
      </c>
      <c r="F6" s="20">
        <v>0.18</v>
      </c>
      <c r="G6" s="20">
        <v>0.18</v>
      </c>
    </row>
    <row r="7">
      <c r="B7" s="18">
        <v>2.0</v>
      </c>
      <c r="C7" s="19" t="s">
        <v>194</v>
      </c>
      <c r="D7" s="18">
        <v>6.0</v>
      </c>
      <c r="E7" s="18" t="s">
        <v>195</v>
      </c>
      <c r="F7" s="18" t="s">
        <v>196</v>
      </c>
      <c r="G7" s="20">
        <v>0.24</v>
      </c>
    </row>
    <row r="8">
      <c r="B8" s="18">
        <v>3.0</v>
      </c>
      <c r="C8" s="19" t="s">
        <v>197</v>
      </c>
      <c r="D8" s="18">
        <v>10.0</v>
      </c>
      <c r="E8" s="18" t="s">
        <v>198</v>
      </c>
      <c r="F8" s="18" t="s">
        <v>199</v>
      </c>
      <c r="G8" s="20">
        <v>0.18</v>
      </c>
    </row>
    <row r="9">
      <c r="B9" s="18">
        <v>4.0</v>
      </c>
      <c r="C9" s="19" t="s">
        <v>200</v>
      </c>
      <c r="D9" s="18" t="s">
        <v>201</v>
      </c>
      <c r="E9" s="18" t="s">
        <v>202</v>
      </c>
      <c r="F9" s="18" t="s">
        <v>203</v>
      </c>
      <c r="G9" s="18" t="s">
        <v>204</v>
      </c>
    </row>
    <row r="10">
      <c r="B10" s="18">
        <v>5.0</v>
      </c>
      <c r="C10" s="19" t="s">
        <v>205</v>
      </c>
      <c r="D10" s="18" t="s">
        <v>206</v>
      </c>
      <c r="E10" s="18" t="s">
        <v>207</v>
      </c>
      <c r="F10" s="18" t="s">
        <v>203</v>
      </c>
      <c r="G10" s="18" t="s">
        <v>204</v>
      </c>
    </row>
    <row r="13">
      <c r="C13" s="1" t="s">
        <v>208</v>
      </c>
    </row>
    <row r="15">
      <c r="B15" s="17" t="s">
        <v>209</v>
      </c>
      <c r="C15" s="17" t="s">
        <v>210</v>
      </c>
      <c r="D15" s="17" t="s">
        <v>211</v>
      </c>
      <c r="E15" s="17" t="s">
        <v>212</v>
      </c>
      <c r="F15" s="17" t="s">
        <v>213</v>
      </c>
    </row>
    <row r="16">
      <c r="B16" s="18" t="s">
        <v>214</v>
      </c>
      <c r="C16" s="19" t="s">
        <v>215</v>
      </c>
      <c r="D16" s="18" t="s">
        <v>216</v>
      </c>
      <c r="E16" s="18" t="s">
        <v>217</v>
      </c>
      <c r="F16" s="21" t="s">
        <v>218</v>
      </c>
    </row>
    <row r="17">
      <c r="B17" s="18" t="s">
        <v>219</v>
      </c>
      <c r="C17" s="19" t="s">
        <v>220</v>
      </c>
      <c r="D17" s="18" t="s">
        <v>221</v>
      </c>
      <c r="E17" s="18" t="s">
        <v>222</v>
      </c>
      <c r="F17" s="21" t="s">
        <v>223</v>
      </c>
    </row>
    <row r="18">
      <c r="B18" s="18" t="s">
        <v>224</v>
      </c>
      <c r="C18" s="19" t="s">
        <v>225</v>
      </c>
      <c r="D18" s="18" t="s">
        <v>226</v>
      </c>
      <c r="E18" s="18" t="s">
        <v>227</v>
      </c>
      <c r="F18" s="21" t="s">
        <v>228</v>
      </c>
    </row>
    <row r="19">
      <c r="B19" s="18" t="s">
        <v>229</v>
      </c>
      <c r="C19" s="19" t="s">
        <v>230</v>
      </c>
      <c r="D19" s="18" t="s">
        <v>231</v>
      </c>
      <c r="E19" s="18" t="s">
        <v>232</v>
      </c>
      <c r="F19" s="18" t="s">
        <v>233</v>
      </c>
    </row>
    <row r="20">
      <c r="B20" s="18" t="s">
        <v>234</v>
      </c>
      <c r="C20" s="19" t="s">
        <v>235</v>
      </c>
      <c r="D20" s="18" t="s">
        <v>236</v>
      </c>
      <c r="E20" s="18" t="s">
        <v>237</v>
      </c>
      <c r="F20" s="18" t="s">
        <v>238</v>
      </c>
    </row>
    <row r="22">
      <c r="I22" s="1" t="s">
        <v>239</v>
      </c>
    </row>
    <row r="24">
      <c r="I24" s="22" t="s">
        <v>43</v>
      </c>
      <c r="J24" s="22" t="s">
        <v>240</v>
      </c>
      <c r="K24" s="22" t="s">
        <v>241</v>
      </c>
      <c r="L24" s="22" t="s">
        <v>242</v>
      </c>
      <c r="M24" s="22" t="s">
        <v>243</v>
      </c>
    </row>
    <row r="25">
      <c r="I25" s="1" t="s">
        <v>215</v>
      </c>
      <c r="J25" s="23" t="s">
        <v>244</v>
      </c>
      <c r="K25" s="23">
        <v>6.0</v>
      </c>
      <c r="L25" s="24">
        <v>900.0</v>
      </c>
      <c r="M25" s="1" t="s">
        <v>245</v>
      </c>
    </row>
    <row r="26">
      <c r="I26" s="1" t="s">
        <v>246</v>
      </c>
      <c r="J26" s="23" t="s">
        <v>247</v>
      </c>
      <c r="K26" s="23">
        <v>10.0</v>
      </c>
      <c r="L26" s="24">
        <v>2500.0</v>
      </c>
      <c r="M26" s="1" t="s">
        <v>248</v>
      </c>
    </row>
    <row r="27">
      <c r="I27" s="1" t="s">
        <v>230</v>
      </c>
      <c r="J27" s="23" t="s">
        <v>249</v>
      </c>
      <c r="K27" s="23">
        <v>20.0</v>
      </c>
      <c r="L27" s="24">
        <v>20000.0</v>
      </c>
      <c r="M27" s="1" t="s">
        <v>250</v>
      </c>
    </row>
    <row r="28">
      <c r="I28" s="1" t="s">
        <v>235</v>
      </c>
      <c r="J28" s="23" t="s">
        <v>251</v>
      </c>
      <c r="K28" s="23">
        <v>100.0</v>
      </c>
      <c r="L28" s="24">
        <v>0.0</v>
      </c>
      <c r="M28" s="1" t="s">
        <v>252</v>
      </c>
    </row>
    <row r="29">
      <c r="I29" s="1" t="s">
        <v>253</v>
      </c>
      <c r="J29" s="14"/>
      <c r="K29" s="14"/>
      <c r="L29" s="24">
        <v>23400.0</v>
      </c>
      <c r="M29" s="1" t="s">
        <v>254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
    <col customWidth="1" min="3" max="3" width="27.75"/>
    <col customWidth="1" min="4" max="4" width="50.88"/>
    <col customWidth="1" min="5" max="5" width="63.38"/>
    <col customWidth="1" min="7" max="7" width="27.13"/>
    <col customWidth="1" min="10" max="10" width="15.75"/>
    <col customWidth="1" min="11" max="11" width="15.63"/>
    <col customWidth="1" min="12" max="12" width="36.88"/>
  </cols>
  <sheetData>
    <row r="2">
      <c r="C2" s="13" t="s">
        <v>255</v>
      </c>
    </row>
    <row r="4">
      <c r="B4" s="17" t="s">
        <v>2</v>
      </c>
      <c r="C4" s="17" t="s">
        <v>62</v>
      </c>
      <c r="D4" s="17" t="s">
        <v>256</v>
      </c>
      <c r="E4" s="17" t="s">
        <v>257</v>
      </c>
      <c r="F4" s="17" t="s">
        <v>257</v>
      </c>
      <c r="G4" s="17" t="s">
        <v>258</v>
      </c>
      <c r="J4" s="25" t="s">
        <v>259</v>
      </c>
      <c r="K4" s="25" t="s">
        <v>260</v>
      </c>
    </row>
    <row r="5">
      <c r="B5" s="26">
        <v>1.0</v>
      </c>
      <c r="C5" s="4" t="s">
        <v>261</v>
      </c>
      <c r="D5" s="27" t="s">
        <v>262</v>
      </c>
      <c r="E5" s="4" t="s">
        <v>263</v>
      </c>
      <c r="F5" s="28">
        <v>150.0</v>
      </c>
      <c r="G5" s="4" t="s">
        <v>264</v>
      </c>
      <c r="J5" s="4" t="s">
        <v>265</v>
      </c>
      <c r="K5" s="29">
        <v>20.0</v>
      </c>
    </row>
    <row r="6">
      <c r="B6" s="26">
        <v>2.0</v>
      </c>
      <c r="C6" s="4" t="s">
        <v>266</v>
      </c>
      <c r="D6" s="4" t="s">
        <v>267</v>
      </c>
      <c r="E6" s="4" t="s">
        <v>268</v>
      </c>
      <c r="F6" s="28">
        <f>K24</f>
        <v>1250</v>
      </c>
      <c r="G6" s="4" t="s">
        <v>269</v>
      </c>
      <c r="J6" s="4" t="s">
        <v>270</v>
      </c>
      <c r="K6" s="29">
        <v>25.0</v>
      </c>
    </row>
    <row r="7">
      <c r="B7" s="26">
        <v>3.0</v>
      </c>
      <c r="C7" s="4" t="s">
        <v>271</v>
      </c>
      <c r="D7" s="4" t="s">
        <v>272</v>
      </c>
      <c r="E7" s="4" t="s">
        <v>273</v>
      </c>
      <c r="F7" s="28">
        <v>500.0</v>
      </c>
      <c r="G7" s="4" t="s">
        <v>274</v>
      </c>
      <c r="J7" s="4" t="s">
        <v>275</v>
      </c>
      <c r="K7" s="29">
        <v>99.0</v>
      </c>
    </row>
    <row r="8">
      <c r="B8" s="26">
        <v>4.0</v>
      </c>
      <c r="C8" s="4" t="s">
        <v>276</v>
      </c>
      <c r="D8" s="4" t="s">
        <v>277</v>
      </c>
      <c r="E8" s="30" t="s">
        <v>278</v>
      </c>
      <c r="F8" s="28">
        <v>3500.0</v>
      </c>
      <c r="G8" s="4" t="s">
        <v>279</v>
      </c>
      <c r="J8" s="4" t="s">
        <v>280</v>
      </c>
      <c r="K8" s="29">
        <v>25.0</v>
      </c>
    </row>
    <row r="9">
      <c r="B9" s="26">
        <v>5.0</v>
      </c>
      <c r="C9" s="4" t="s">
        <v>281</v>
      </c>
      <c r="D9" s="4" t="s">
        <v>282</v>
      </c>
      <c r="E9" s="27" t="s">
        <v>283</v>
      </c>
      <c r="F9" s="28">
        <v>800.0</v>
      </c>
      <c r="G9" s="4" t="s">
        <v>284</v>
      </c>
      <c r="J9" s="4" t="s">
        <v>285</v>
      </c>
      <c r="K9" s="29">
        <v>60.0</v>
      </c>
    </row>
    <row r="10">
      <c r="B10" s="26">
        <v>6.0</v>
      </c>
      <c r="C10" s="4" t="s">
        <v>286</v>
      </c>
      <c r="D10" s="4" t="s">
        <v>287</v>
      </c>
      <c r="E10" s="4" t="s">
        <v>288</v>
      </c>
      <c r="F10" s="28">
        <v>1000.0</v>
      </c>
      <c r="G10" s="4" t="s">
        <v>289</v>
      </c>
      <c r="J10" s="4" t="s">
        <v>290</v>
      </c>
      <c r="K10" s="29">
        <v>150.0</v>
      </c>
      <c r="L10" s="4" t="s">
        <v>291</v>
      </c>
    </row>
    <row r="11">
      <c r="B11" s="26">
        <v>7.0</v>
      </c>
      <c r="C11" s="4" t="s">
        <v>292</v>
      </c>
      <c r="D11" s="4" t="s">
        <v>293</v>
      </c>
      <c r="E11" s="4" t="s">
        <v>294</v>
      </c>
      <c r="F11" s="28">
        <f>((12*150)-(1800*35%))</f>
        <v>1170</v>
      </c>
      <c r="G11" s="4" t="s">
        <v>295</v>
      </c>
      <c r="J11" s="19" t="s">
        <v>296</v>
      </c>
      <c r="K11" s="29">
        <v>850.0</v>
      </c>
      <c r="L11" s="4" t="s">
        <v>297</v>
      </c>
    </row>
    <row r="12">
      <c r="B12" s="18">
        <v>8.0</v>
      </c>
      <c r="C12" s="4" t="s">
        <v>298</v>
      </c>
      <c r="D12" s="4" t="s">
        <v>299</v>
      </c>
      <c r="E12" s="4" t="s">
        <v>300</v>
      </c>
      <c r="F12" s="31">
        <f>20*6</f>
        <v>120</v>
      </c>
      <c r="G12" s="4" t="s">
        <v>301</v>
      </c>
      <c r="J12" s="19" t="s">
        <v>302</v>
      </c>
      <c r="K12" s="29">
        <v>21.0</v>
      </c>
      <c r="L12" s="4"/>
    </row>
    <row r="13">
      <c r="B13" s="18">
        <v>9.0</v>
      </c>
      <c r="C13" s="4" t="s">
        <v>303</v>
      </c>
      <c r="D13" s="4" t="s">
        <v>304</v>
      </c>
      <c r="E13" s="4" t="s">
        <v>305</v>
      </c>
      <c r="F13" s="32">
        <v>1500.0</v>
      </c>
      <c r="G13" s="4" t="s">
        <v>306</v>
      </c>
    </row>
    <row r="14">
      <c r="B14" s="18">
        <v>10.0</v>
      </c>
      <c r="C14" s="4" t="s">
        <v>307</v>
      </c>
      <c r="D14" s="4" t="s">
        <v>308</v>
      </c>
      <c r="E14" s="4" t="s">
        <v>309</v>
      </c>
      <c r="F14" s="32"/>
      <c r="G14" s="4" t="s">
        <v>310</v>
      </c>
    </row>
    <row r="15">
      <c r="B15" s="18"/>
      <c r="C15" s="4"/>
      <c r="D15" s="4"/>
      <c r="E15" s="4"/>
      <c r="F15" s="31"/>
      <c r="G15" s="4"/>
    </row>
    <row r="16">
      <c r="E16" s="33" t="s">
        <v>311</v>
      </c>
      <c r="F16" s="34">
        <f>SUBTOTAL(9,$F$5:F14)</f>
        <v>9990</v>
      </c>
    </row>
    <row r="17">
      <c r="F17" s="34"/>
    </row>
    <row r="19">
      <c r="C19" s="13" t="s">
        <v>312</v>
      </c>
    </row>
    <row r="20">
      <c r="B20" s="17" t="s">
        <v>2</v>
      </c>
      <c r="C20" s="17" t="s">
        <v>62</v>
      </c>
      <c r="D20" s="17" t="s">
        <v>256</v>
      </c>
      <c r="E20" s="17" t="s">
        <v>257</v>
      </c>
      <c r="F20" s="17" t="s">
        <v>257</v>
      </c>
      <c r="G20" s="17" t="s">
        <v>258</v>
      </c>
    </row>
    <row r="21">
      <c r="B21" s="18">
        <v>1.0</v>
      </c>
      <c r="C21" s="4" t="s">
        <v>313</v>
      </c>
      <c r="D21" s="4" t="s">
        <v>314</v>
      </c>
      <c r="E21" s="35" t="s">
        <v>315</v>
      </c>
      <c r="F21" s="31">
        <f>(6000/30)*15</f>
        <v>3000</v>
      </c>
      <c r="G21" s="19" t="s">
        <v>316</v>
      </c>
    </row>
    <row r="22">
      <c r="B22" s="18">
        <v>2.0</v>
      </c>
      <c r="C22" s="4" t="s">
        <v>317</v>
      </c>
      <c r="D22" s="4" t="s">
        <v>318</v>
      </c>
      <c r="E22" s="35" t="s">
        <v>319</v>
      </c>
      <c r="F22" s="36">
        <f>500/2</f>
        <v>250</v>
      </c>
      <c r="G22" s="4" t="s">
        <v>320</v>
      </c>
    </row>
    <row r="23">
      <c r="B23" s="18"/>
      <c r="C23" s="4"/>
      <c r="D23" s="4"/>
      <c r="E23" s="35"/>
      <c r="F23" s="36"/>
      <c r="G23" s="19"/>
    </row>
    <row r="24">
      <c r="E24" s="33" t="s">
        <v>321</v>
      </c>
      <c r="F24" s="37">
        <f>SUBTOTAL(9,$F$21:$F$23)</f>
        <v>3250</v>
      </c>
      <c r="J24" s="38" t="s">
        <v>322</v>
      </c>
      <c r="K24" s="39">
        <f>SUM(K5:K12)</f>
        <v>1250</v>
      </c>
    </row>
    <row r="25">
      <c r="E25" s="40" t="s">
        <v>323</v>
      </c>
      <c r="F25" s="41">
        <f>SUBTOTAL(9,F5:F14,F21:F23)</f>
        <v>13240</v>
      </c>
    </row>
  </sheetData>
  <hyperlinks>
    <hyperlink r:id="rId1" ref="D5"/>
    <hyperlink r:id="rId2" ref="E8"/>
    <hyperlink r:id="rId3" ref="E9"/>
  </hyperlinks>
  <drawing r:id="rId4"/>
</worksheet>
</file>